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ton\OneDrive\Рабочий стол\"/>
    </mc:Choice>
  </mc:AlternateContent>
  <bookViews>
    <workbookView xWindow="-120" yWindow="-120" windowWidth="20730" windowHeight="11310" activeTab="2"/>
  </bookViews>
  <sheets>
    <sheet name="ГУ 1 рода" sheetId="1" r:id="rId1"/>
    <sheet name="Гу 2 рода" sheetId="2" r:id="rId2"/>
    <sheet name="ГУ 3 рода" sheetId="3" r:id="rId3"/>
  </sheets>
  <externalReferences>
    <externalReference r:id="rId4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3" l="1"/>
  <c r="AJ13" i="3"/>
  <c r="C4" i="3"/>
  <c r="F13" i="2"/>
  <c r="G17" i="2" s="1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H16" i="1"/>
  <c r="G16" i="1"/>
  <c r="F17" i="2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C5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B18" i="3" l="1"/>
  <c r="B17" i="3" s="1"/>
  <c r="B20" i="3" s="1"/>
  <c r="C5" i="3"/>
  <c r="AG16" i="3" s="1"/>
  <c r="B19" i="3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N16" i="3"/>
  <c r="AD16" i="3"/>
  <c r="S16" i="3"/>
  <c r="AI16" i="3"/>
  <c r="T16" i="3"/>
  <c r="I16" i="3"/>
  <c r="Y16" i="3"/>
  <c r="G16" i="2"/>
  <c r="C5" i="2"/>
  <c r="AF16" i="3" l="1"/>
  <c r="AE16" i="3"/>
  <c r="O16" i="3"/>
  <c r="Z16" i="3"/>
  <c r="J16" i="3"/>
  <c r="Q16" i="3"/>
  <c r="AB16" i="3"/>
  <c r="L16" i="3"/>
  <c r="AA16" i="3"/>
  <c r="K16" i="3"/>
  <c r="V16" i="3"/>
  <c r="U16" i="3"/>
  <c r="P16" i="3"/>
  <c r="AC16" i="3"/>
  <c r="M16" i="3"/>
  <c r="X16" i="3"/>
  <c r="H16" i="3"/>
  <c r="W16" i="3"/>
  <c r="AH16" i="3"/>
  <c r="R16" i="3"/>
  <c r="G16" i="3"/>
  <c r="AI16" i="2"/>
  <c r="AE16" i="2"/>
  <c r="AA16" i="2"/>
  <c r="W16" i="2"/>
  <c r="S16" i="2"/>
  <c r="O16" i="2"/>
  <c r="K16" i="2"/>
  <c r="AC16" i="2"/>
  <c r="M16" i="2"/>
  <c r="AH16" i="2"/>
  <c r="AD16" i="2"/>
  <c r="Z16" i="2"/>
  <c r="V16" i="2"/>
  <c r="R16" i="2"/>
  <c r="N16" i="2"/>
  <c r="J16" i="2"/>
  <c r="AG16" i="2"/>
  <c r="Y16" i="2"/>
  <c r="U16" i="2"/>
  <c r="Q16" i="2"/>
  <c r="I16" i="2"/>
  <c r="AF16" i="2"/>
  <c r="AB16" i="2"/>
  <c r="X16" i="2"/>
  <c r="T16" i="2"/>
  <c r="P16" i="2"/>
  <c r="L16" i="2"/>
  <c r="H16" i="2"/>
</calcChain>
</file>

<file path=xl/sharedStrings.xml><?xml version="1.0" encoding="utf-8"?>
<sst xmlns="http://schemas.openxmlformats.org/spreadsheetml/2006/main" count="38" uniqueCount="16">
  <si>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</si>
  <si>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</si>
  <si>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</si>
  <si>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</si>
  <si>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</si>
  <si>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</si>
  <si>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</si>
  <si>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</si>
  <si>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</si>
  <si>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</si>
  <si>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</si>
  <si>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q_start</t>
  </si>
  <si>
    <t>q</t>
  </si>
  <si>
    <t>T_gas</t>
  </si>
  <si>
    <t>a</t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</si>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</sst>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06322579700383"/>
          <c:y val="4.802132078868649E-2"/>
          <c:w val="0.78227028021438927"/>
          <c:h val="0.8808292532443104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'ГУ 1 рода'!$F$12:$AJ$12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1096444805237"/>
          <c:y val="2.7720424773534747E-2"/>
          <c:w val="0.79799141829891085"/>
          <c:h val="0.8507029280131315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'[1]ГУ 2 рода'!$F$12:$AJ$12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'[1]ГУ 2 рода'!$F$13:$AJ$13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DD-499D-B768-BCCB01558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862064"/>
        <c:axId val="351861232"/>
      </c:scatterChart>
      <c:valAx>
        <c:axId val="3518620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861232"/>
        <c:crosses val="autoZero"/>
        <c:crossBetween val="midCat"/>
      </c:valAx>
      <c:valAx>
        <c:axId val="35186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186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'ГУ 3 рода'!$F$12:$AJ$12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3 рода'!$F$13:$AJ$13</c:f>
              <c:numCache>
                <c:formatCode>General</c:formatCode>
                <c:ptCount val="31"/>
                <c:pt idx="0">
                  <c:v>1121.8713530164275</c:v>
                </c:pt>
                <c:pt idx="1">
                  <c:v>1127.8269425310393</c:v>
                </c:pt>
                <c:pt idx="2">
                  <c:v>1133.7810588240636</c:v>
                </c:pt>
                <c:pt idx="3">
                  <c:v>1139.7336961632354</c:v>
                </c:pt>
                <c:pt idx="4">
                  <c:v>1145.6848537016092</c:v>
                </c:pt>
                <c:pt idx="5">
                  <c:v>1151.6345354804885</c:v>
                </c:pt>
                <c:pt idx="6">
                  <c:v>1157.5827504158829</c:v>
                </c:pt>
                <c:pt idx="7">
                  <c:v>1163.5295122693087</c:v>
                </c:pt>
                <c:pt idx="8">
                  <c:v>1169.4748396020218</c:v>
                </c:pt>
                <c:pt idx="9">
                  <c:v>1175.4187557140672</c:v>
                </c:pt>
                <c:pt idx="10">
                  <c:v>1181.3612885669031</c:v>
                </c:pt>
                <c:pt idx="11">
                  <c:v>1187.3024706914894</c:v>
                </c:pt>
                <c:pt idx="12">
                  <c:v>1193.2423390803383</c:v>
                </c:pt>
                <c:pt idx="13">
                  <c:v>1199.1809350658436</c:v>
                </c:pt>
                <c:pt idx="14">
                  <c:v>1205.118304183196</c:v>
                </c:pt>
                <c:pt idx="15">
                  <c:v>1211.054496020543</c:v>
                </c:pt>
                <c:pt idx="16">
                  <c:v>1216.9895640545958</c:v>
                </c:pt>
                <c:pt idx="17">
                  <c:v>1222.923565474583</c:v>
                </c:pt>
                <c:pt idx="18">
                  <c:v>1228.8565609927346</c:v>
                </c:pt>
                <c:pt idx="19">
                  <c:v>1234.7886146443348</c:v>
                </c:pt>
                <c:pt idx="20">
                  <c:v>1240.7197935756071</c:v>
                </c:pt>
                <c:pt idx="21">
                  <c:v>1246.6501678224852</c:v>
                </c:pt>
                <c:pt idx="22">
                  <c:v>1252.5798100787165</c:v>
                </c:pt>
                <c:pt idx="23">
                  <c:v>1258.5087954562559</c:v>
                </c:pt>
                <c:pt idx="24">
                  <c:v>1264.4372012366675</c:v>
                </c:pt>
                <c:pt idx="25">
                  <c:v>1270.3651066162856</c:v>
                </c:pt>
                <c:pt idx="26">
                  <c:v>1276.2925924442134</c:v>
                </c:pt>
                <c:pt idx="27">
                  <c:v>1282.2197409556002</c:v>
                </c:pt>
                <c:pt idx="28">
                  <c:v>1288.1466354997119</c:v>
                </c:pt>
                <c:pt idx="29">
                  <c:v>1294.0733602648313</c:v>
                </c:pt>
                <c:pt idx="30">
                  <c:v>1300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A2-4E02-8A39-97D9F3B13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830034</xdr:colOff>
      <xdr:row>17</xdr:row>
      <xdr:rowOff>107868</xdr:rowOff>
    </xdr:from>
    <xdr:to>
      <xdr:col>13</xdr:col>
      <xdr:colOff>54429</xdr:colOff>
      <xdr:row>39</xdr:row>
      <xdr:rowOff>116172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9100</xdr:colOff>
      <xdr:row>17</xdr:row>
      <xdr:rowOff>102681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4526671" y="3341181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4526671" y="3341181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12</xdr:col>
      <xdr:colOff>146491</xdr:colOff>
      <xdr:row>38</xdr:row>
      <xdr:rowOff>23059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725670" y="726205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/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725670" y="7262059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/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8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312964</xdr:colOff>
      <xdr:row>18</xdr:row>
      <xdr:rowOff>108857</xdr:rowOff>
    </xdr:from>
    <xdr:to>
      <xdr:col>13</xdr:col>
      <xdr:colOff>530661</xdr:colOff>
      <xdr:row>39</xdr:row>
      <xdr:rowOff>23196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0.01078</cdr:x>
      <cdr:y>0.01298</cdr:y>
    </cdr:from>
    <cdr:to>
      <cdr:x>0.11078</cdr:x>
      <cdr:y>0.09979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800" y="50800"/>
          <a:ext cx="471005" cy="33986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lIns="0" tIns="0" rIns="0" b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/>
            <a:t>T,[C]</a:t>
          </a:r>
          <a:endParaRPr lang="ru-RU" sz="18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</xdr:colOff>
      <xdr:row>17</xdr:row>
      <xdr:rowOff>53438</xdr:rowOff>
    </xdr:from>
    <xdr:to>
      <xdr:col>14</xdr:col>
      <xdr:colOff>152153</xdr:colOff>
      <xdr:row>43</xdr:row>
      <xdr:rowOff>4947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30A1E6C-5A43-431B-8B65-51D6A0213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145171</xdr:colOff>
      <xdr:row>17</xdr:row>
      <xdr:rowOff>102682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51D524-5C92-40C4-826C-D675BA9D74F0}"/>
                </a:ext>
              </a:extLst>
            </xdr:cNvPr>
            <xdr:cNvSpPr txBox="1"/>
          </xdr:nvSpPr>
          <xdr:spPr>
            <a:xfrm>
              <a:off x="4662742" y="3341182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C51D524-5C92-40C4-826C-D675BA9D74F0}"/>
                </a:ext>
              </a:extLst>
            </xdr:cNvPr>
            <xdr:cNvSpPr txBox="1"/>
          </xdr:nvSpPr>
          <xdr:spPr>
            <a:xfrm>
              <a:off x="4662742" y="3341182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𝑻,[𝑪]</a:t>
              </a:r>
              <a:endParaRPr lang="ru-RU" sz="1800" b="1"/>
            </a:p>
          </xdr:txBody>
        </xdr:sp>
      </mc:Fallback>
    </mc:AlternateContent>
    <xdr:clientData/>
  </xdr:oneCellAnchor>
  <xdr:oneCellAnchor>
    <xdr:from>
      <xdr:col>13</xdr:col>
      <xdr:colOff>211125</xdr:colOff>
      <xdr:row>41</xdr:row>
      <xdr:rowOff>21358</xdr:rowOff>
    </xdr:from>
    <xdr:ext cx="567133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600CFA-0426-48AE-8771-A7EBCC34B81C}"/>
                </a:ext>
              </a:extLst>
            </xdr:cNvPr>
            <xdr:cNvSpPr txBox="1"/>
          </xdr:nvSpPr>
          <xdr:spPr>
            <a:xfrm>
              <a:off x="8402625" y="7831858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/>
                <a:t>L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𝒎</m:t>
                  </m:r>
                  <m:r>
                    <a:rPr lang="en-US" sz="18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 b="1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D600CFA-0426-48AE-8771-A7EBCC34B81C}"/>
                </a:ext>
              </a:extLst>
            </xdr:cNvPr>
            <xdr:cNvSpPr txBox="1"/>
          </xdr:nvSpPr>
          <xdr:spPr>
            <a:xfrm>
              <a:off x="8402625" y="7831858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/>
                <a:t>L</a:t>
              </a:r>
              <a:r>
                <a:rPr lang="en-US" sz="1800" b="1" i="0">
                  <a:latin typeface="Cambria Math" panose="02040503050406030204" pitchFamily="18" charset="0"/>
                </a:rPr>
                <a:t>,[𝒎]</a:t>
              </a:r>
              <a:endParaRPr lang="ru-RU" sz="1800" b="1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on/Downloads/MCC_2310_Gabaev_Ni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У 1 рода"/>
      <sheetName val="ГУ 2 рода"/>
      <sheetName val="ГУ 3 рода"/>
    </sheetNames>
    <sheetDataSet>
      <sheetData sheetId="0"/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293.33333333333297</v>
          </cell>
          <cell r="H13">
            <v>286.66666666666595</v>
          </cell>
          <cell r="I13">
            <v>279.99999999999898</v>
          </cell>
          <cell r="J13">
            <v>273.33333333333206</v>
          </cell>
          <cell r="K13">
            <v>266.66666666666515</v>
          </cell>
          <cell r="L13">
            <v>259.99999999999829</v>
          </cell>
          <cell r="M13">
            <v>253.3333333333315</v>
          </cell>
          <cell r="N13">
            <v>246.66666666666472</v>
          </cell>
          <cell r="O13">
            <v>239.99999999999795</v>
          </cell>
          <cell r="P13">
            <v>233.33333333333121</v>
          </cell>
          <cell r="Q13">
            <v>226.6666666666645</v>
          </cell>
          <cell r="R13">
            <v>219.99999999999778</v>
          </cell>
          <cell r="S13">
            <v>213.3333333333311</v>
          </cell>
          <cell r="T13">
            <v>206.66666666666444</v>
          </cell>
          <cell r="U13">
            <v>199.99999999999778</v>
          </cell>
          <cell r="V13">
            <v>193.33333333333115</v>
          </cell>
          <cell r="W13">
            <v>186.66666666666453</v>
          </cell>
          <cell r="X13">
            <v>179.99999999999793</v>
          </cell>
          <cell r="Y13">
            <v>173.33333333333132</v>
          </cell>
          <cell r="Z13">
            <v>166.66666666666475</v>
          </cell>
          <cell r="AA13">
            <v>159.99999999999821</v>
          </cell>
          <cell r="AB13">
            <v>153.33333333333167</v>
          </cell>
          <cell r="AC13">
            <v>146.66666666666515</v>
          </cell>
          <cell r="AD13">
            <v>139.99999999999866</v>
          </cell>
          <cell r="AE13">
            <v>133.33333333333218</v>
          </cell>
          <cell r="AF13">
            <v>126.66666666666573</v>
          </cell>
          <cell r="AG13">
            <v>119.99999999999929</v>
          </cell>
          <cell r="AH13">
            <v>113.33333333333286</v>
          </cell>
          <cell r="AI13">
            <v>106.66666666666643</v>
          </cell>
          <cell r="AJ13">
            <v>100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opLeftCell="A10" zoomScale="70" zoomScaleNormal="70" workbookViewId="0">
      <selection activeCell="G19" sqref="G19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500</v>
      </c>
      <c r="D6">
        <v>500.06666666666672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15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293.28624346693624</v>
      </c>
      <c r="H13">
        <v>286.57351596044163</v>
      </c>
      <c r="I13">
        <v>279.86078845394701</v>
      </c>
      <c r="J13">
        <v>273.15110305375981</v>
      </c>
      <c r="K13">
        <v>266.44141765357256</v>
      </c>
      <c r="L13">
        <v>259.73665448478408</v>
      </c>
      <c r="M13">
        <v>253.03189131599561</v>
      </c>
      <c r="N13">
        <v>246.33371537856041</v>
      </c>
      <c r="O13">
        <v>239.63553944112522</v>
      </c>
      <c r="P13">
        <v>232.9453278413726</v>
      </c>
      <c r="Q13">
        <v>226.25511624161999</v>
      </c>
      <c r="R13">
        <v>219.57389800609968</v>
      </c>
      <c r="S13">
        <v>212.89267977057938</v>
      </c>
      <c r="T13">
        <v>206.22109087266466</v>
      </c>
      <c r="U13">
        <v>199.54950197474994</v>
      </c>
      <c r="V13">
        <v>192.88775753955161</v>
      </c>
      <c r="W13">
        <v>186.22601310435331</v>
      </c>
      <c r="X13">
        <v>179.57389800672252</v>
      </c>
      <c r="Y13">
        <v>172.92178290909169</v>
      </c>
      <c r="Z13">
        <v>166.2786611756236</v>
      </c>
      <c r="AA13">
        <v>159.6355394421555</v>
      </c>
      <c r="AB13">
        <v>153.00038204628092</v>
      </c>
      <c r="AC13">
        <v>146.36522465040633</v>
      </c>
      <c r="AD13">
        <v>139.73665448579186</v>
      </c>
      <c r="AE13">
        <v>133.10808432117742</v>
      </c>
      <c r="AF13">
        <v>126.48443638788059</v>
      </c>
      <c r="AG13">
        <v>119.86078845458377</v>
      </c>
      <c r="AH13">
        <v>113.24018262753927</v>
      </c>
      <c r="AI13">
        <v>106.61957680049478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293.28675798022084</v>
      </c>
      <c r="H16">
        <f>H13+(($C$10*$C$5)/($C$9*$C$8))*( (I13-2*H13+G13)/($C$4^2))</f>
        <v>286.57351596044163</v>
      </c>
      <c r="I16">
        <f t="shared" ref="I16:AI16" si="1">I13+(($C$10*$C$5)/($C$9*$C$8))*( (J13-2*I13+H13)/($C$4^2))</f>
        <v>279.86230950710069</v>
      </c>
      <c r="J16">
        <f t="shared" si="1"/>
        <v>273.15110305375981</v>
      </c>
      <c r="K16">
        <f t="shared" si="1"/>
        <v>266.44387876927192</v>
      </c>
      <c r="L16">
        <f t="shared" si="1"/>
        <v>259.73665448478408</v>
      </c>
      <c r="M16">
        <f t="shared" si="1"/>
        <v>253.03518493167226</v>
      </c>
      <c r="N16">
        <f t="shared" si="1"/>
        <v>246.33371537856041</v>
      </c>
      <c r="O16">
        <f t="shared" si="1"/>
        <v>239.63952160996649</v>
      </c>
      <c r="P16">
        <f t="shared" si="1"/>
        <v>232.9453278413726</v>
      </c>
      <c r="Q16">
        <f t="shared" si="1"/>
        <v>226.25961292373614</v>
      </c>
      <c r="R16">
        <f t="shared" si="1"/>
        <v>219.57389800609968</v>
      </c>
      <c r="S16">
        <f t="shared" si="1"/>
        <v>212.89749443938217</v>
      </c>
      <c r="T16">
        <f t="shared" si="1"/>
        <v>206.22109087266466</v>
      </c>
      <c r="U16">
        <f t="shared" si="1"/>
        <v>199.55442420610814</v>
      </c>
      <c r="V16">
        <f t="shared" si="1"/>
        <v>192.88775753955161</v>
      </c>
      <c r="W16">
        <f t="shared" si="1"/>
        <v>186.23082777313707</v>
      </c>
      <c r="X16">
        <f t="shared" si="1"/>
        <v>179.57389800672252</v>
      </c>
      <c r="Y16">
        <f t="shared" si="1"/>
        <v>172.92627959117306</v>
      </c>
      <c r="Z16">
        <f t="shared" si="1"/>
        <v>166.2786611756236</v>
      </c>
      <c r="AA16">
        <f t="shared" si="1"/>
        <v>159.63952161095227</v>
      </c>
      <c r="AB16">
        <f t="shared" si="1"/>
        <v>153.00038204628092</v>
      </c>
      <c r="AC16">
        <f t="shared" si="1"/>
        <v>146.3685182660364</v>
      </c>
      <c r="AD16">
        <f t="shared" si="1"/>
        <v>139.73665448579186</v>
      </c>
      <c r="AE16">
        <f t="shared" si="1"/>
        <v>133.11054543683622</v>
      </c>
      <c r="AF16">
        <f t="shared" si="1"/>
        <v>126.48443638788059</v>
      </c>
      <c r="AG16">
        <f t="shared" si="1"/>
        <v>119.86230950770994</v>
      </c>
      <c r="AH16">
        <f t="shared" si="1"/>
        <v>113.24018262753927</v>
      </c>
      <c r="AI16">
        <f t="shared" si="1"/>
        <v>106.62009131376963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17"/>
  <sheetViews>
    <sheetView topLeftCell="A10" zoomScale="70" zoomScaleNormal="70" workbookViewId="0">
      <selection activeCell="S26" sqref="S26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5000</v>
      </c>
      <c r="D6">
        <v>5000.2333333333345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11</v>
      </c>
      <c r="C12" s="1">
        <v>92000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(F17/C10)*C4+G13</f>
        <v>299.99997763108735</v>
      </c>
      <c r="G13">
        <v>293.33331096442066</v>
      </c>
      <c r="H13">
        <v>286.6666443611611</v>
      </c>
      <c r="I13">
        <v>279.99997782112894</v>
      </c>
      <c r="J13">
        <v>273.33331134396514</v>
      </c>
      <c r="K13">
        <v>266.66664492913264</v>
      </c>
      <c r="L13">
        <v>259.99997857591751</v>
      </c>
      <c r="M13">
        <v>253.3333122834313</v>
      </c>
      <c r="N13">
        <v>246.66664605061328</v>
      </c>
      <c r="O13">
        <v>239.99997987623377</v>
      </c>
      <c r="P13">
        <v>233.33331375889719</v>
      </c>
      <c r="Q13">
        <v>226.66664769704656</v>
      </c>
      <c r="R13">
        <v>219.9999816889673</v>
      </c>
      <c r="S13">
        <v>213.33331573279273</v>
      </c>
      <c r="T13">
        <v>206.66664982650872</v>
      </c>
      <c r="U13">
        <v>199.99998396796005</v>
      </c>
      <c r="V13">
        <v>193.33331815485587</v>
      </c>
      <c r="W13">
        <v>186.6666523847768</v>
      </c>
      <c r="X13">
        <v>179.99998665518126</v>
      </c>
      <c r="Y13">
        <v>173.33332096341309</v>
      </c>
      <c r="Z13">
        <v>166.66665530670878</v>
      </c>
      <c r="AA13">
        <v>159.9999896822055</v>
      </c>
      <c r="AB13">
        <v>153.33332408694912</v>
      </c>
      <c r="AC13">
        <v>146.66665851790265</v>
      </c>
      <c r="AD13">
        <v>139.99999297195473</v>
      </c>
      <c r="AE13">
        <v>133.33332744592857</v>
      </c>
      <c r="AF13">
        <v>126.66666193659087</v>
      </c>
      <c r="AG13">
        <v>119.99999644066111</v>
      </c>
      <c r="AH13">
        <v>113.3333309548207</v>
      </c>
      <c r="AI13">
        <v>106.66666547572241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293.33331099612423</v>
      </c>
      <c r="H16">
        <f t="shared" ref="H16:AI16" si="1">H13+(($C$10*$C$5)/($C$9*$C$8))*( (I13-2*H13+G13)/($C$4^2))</f>
        <v>286.6666443927748</v>
      </c>
      <c r="I16">
        <f t="shared" si="1"/>
        <v>279.99997785256312</v>
      </c>
      <c r="J16">
        <f t="shared" si="1"/>
        <v>273.33331137513079</v>
      </c>
      <c r="K16">
        <f t="shared" si="1"/>
        <v>266.66664495994132</v>
      </c>
      <c r="L16">
        <f t="shared" si="1"/>
        <v>259.99997860628196</v>
      </c>
      <c r="M16">
        <f t="shared" si="1"/>
        <v>253.3333123132654</v>
      </c>
      <c r="N16">
        <f t="shared" si="1"/>
        <v>246.66664607983253</v>
      </c>
      <c r="O16">
        <f t="shared" si="1"/>
        <v>239.99997990475524</v>
      </c>
      <c r="P16">
        <f t="shared" si="1"/>
        <v>233.33331378664016</v>
      </c>
      <c r="Q16">
        <f t="shared" si="1"/>
        <v>226.66664772393224</v>
      </c>
      <c r="R16">
        <f t="shared" si="1"/>
        <v>219.99998171491964</v>
      </c>
      <c r="S16">
        <f t="shared" si="1"/>
        <v>213.33331575773801</v>
      </c>
      <c r="T16">
        <f t="shared" si="1"/>
        <v>206.66664985037639</v>
      </c>
      <c r="U16">
        <f t="shared" si="1"/>
        <v>199.9999839906823</v>
      </c>
      <c r="V16">
        <f t="shared" si="1"/>
        <v>193.33331817636844</v>
      </c>
      <c r="W16">
        <f t="shared" si="1"/>
        <v>186.66665240501857</v>
      </c>
      <c r="X16">
        <f t="shared" si="1"/>
        <v>179.99998667409494</v>
      </c>
      <c r="Y16">
        <f t="shared" si="1"/>
        <v>173.33332098094502</v>
      </c>
      <c r="Z16">
        <f t="shared" si="1"/>
        <v>166.66665532280928</v>
      </c>
      <c r="AA16">
        <f t="shared" si="1"/>
        <v>159.99998969682895</v>
      </c>
      <c r="AB16">
        <f t="shared" si="1"/>
        <v>153.33332410005409</v>
      </c>
      <c r="AC16">
        <f t="shared" si="1"/>
        <v>146.66665852945192</v>
      </c>
      <c r="AD16">
        <f t="shared" si="1"/>
        <v>139.99999298191563</v>
      </c>
      <c r="AE16">
        <f t="shared" si="1"/>
        <v>133.33332745427279</v>
      </c>
      <c r="AF16">
        <f t="shared" si="1"/>
        <v>126.66666194329484</v>
      </c>
      <c r="AG16">
        <f t="shared" si="1"/>
        <v>119.99999644570579</v>
      </c>
      <c r="AH16">
        <f t="shared" si="1"/>
        <v>113.33333095819177</v>
      </c>
      <c r="AI16">
        <f t="shared" si="1"/>
        <v>106.66666547741035</v>
      </c>
    </row>
    <row r="17" spans="5:35" x14ac:dyDescent="0.25">
      <c r="E17" t="s">
        <v>12</v>
      </c>
      <c r="F17">
        <f>C12</f>
        <v>92000</v>
      </c>
      <c r="G17">
        <f>-$C$10*((G13-F13)/$C$4)</f>
        <v>92000.000000000247</v>
      </c>
      <c r="H17">
        <f t="shared" ref="H17:AI17" si="2">-$C$10*((H13-G13)/$C$4)</f>
        <v>91999.999124981885</v>
      </c>
      <c r="I17">
        <f t="shared" si="2"/>
        <v>91999.998252443896</v>
      </c>
      <c r="J17">
        <f t="shared" si="2"/>
        <v>91999.997384860442</v>
      </c>
      <c r="K17">
        <f t="shared" si="2"/>
        <v>91999.996524688366</v>
      </c>
      <c r="L17">
        <f t="shared" si="2"/>
        <v>91999.995674368853</v>
      </c>
      <c r="M17">
        <f t="shared" si="2"/>
        <v>91999.994836309721</v>
      </c>
      <c r="N17">
        <f t="shared" si="2"/>
        <v>91999.994012888623</v>
      </c>
      <c r="O17">
        <f t="shared" si="2"/>
        <v>91999.993206437299</v>
      </c>
      <c r="P17">
        <f t="shared" si="2"/>
        <v>91999.992419244736</v>
      </c>
      <c r="Q17">
        <f t="shared" si="2"/>
        <v>91999.991653538746</v>
      </c>
      <c r="R17">
        <f t="shared" si="2"/>
        <v>91999.990911493791</v>
      </c>
      <c r="S17">
        <f t="shared" si="2"/>
        <v>91999.990195209044</v>
      </c>
      <c r="T17">
        <f t="shared" si="2"/>
        <v>91999.989506719328</v>
      </c>
      <c r="U17">
        <f t="shared" si="2"/>
        <v>91999.988847971617</v>
      </c>
      <c r="V17">
        <f t="shared" si="2"/>
        <v>91999.988220837593</v>
      </c>
      <c r="W17">
        <f t="shared" si="2"/>
        <v>91999.987627091265</v>
      </c>
      <c r="X17">
        <f t="shared" si="2"/>
        <v>91999.987068418384</v>
      </c>
      <c r="Y17">
        <f t="shared" si="2"/>
        <v>91999.986546400789</v>
      </c>
      <c r="Z17">
        <f t="shared" si="2"/>
        <v>91999.986062519471</v>
      </c>
      <c r="AA17">
        <f t="shared" si="2"/>
        <v>91999.985618145278</v>
      </c>
      <c r="AB17">
        <f t="shared" si="2"/>
        <v>91999.985214537985</v>
      </c>
      <c r="AC17">
        <f t="shared" si="2"/>
        <v>91999.984852841313</v>
      </c>
      <c r="AD17">
        <f t="shared" si="2"/>
        <v>91999.984534081304</v>
      </c>
      <c r="AE17">
        <f t="shared" si="2"/>
        <v>91999.984259160876</v>
      </c>
      <c r="AF17">
        <f t="shared" si="2"/>
        <v>91999.984028860315</v>
      </c>
      <c r="AG17">
        <f t="shared" si="2"/>
        <v>91999.98384383072</v>
      </c>
      <c r="AH17">
        <f t="shared" si="2"/>
        <v>91999.983704597675</v>
      </c>
      <c r="AI17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20"/>
  <sheetViews>
    <sheetView tabSelected="1" topLeftCell="A16" zoomScale="70" zoomScaleNormal="70" workbookViewId="0">
      <selection activeCell="E30" sqref="E30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(C9*C8*C4^2)/(2*C10)</f>
        <v>0.4333333333333334</v>
      </c>
    </row>
    <row r="6" spans="2:36" x14ac:dyDescent="0.25">
      <c r="B6" s="1" t="s">
        <v>3</v>
      </c>
      <c r="C6" s="1">
        <v>1500</v>
      </c>
      <c r="D6">
        <v>1500.2000000000003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13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1300</v>
      </c>
      <c r="E13" t="s">
        <v>7</v>
      </c>
      <c r="F13">
        <f>(G13+$C$12*$C$14*$C$4/$C$10)/(1+$C$14*$C$4/$C$10)</f>
        <v>1121.8713530164275</v>
      </c>
      <c r="G13">
        <v>1127.8269425310393</v>
      </c>
      <c r="H13">
        <v>1133.7810588240636</v>
      </c>
      <c r="I13">
        <v>1139.7336961632354</v>
      </c>
      <c r="J13">
        <v>1145.6848537016092</v>
      </c>
      <c r="K13">
        <v>1151.6345354804885</v>
      </c>
      <c r="L13">
        <v>1157.5827504158829</v>
      </c>
      <c r="M13">
        <v>1163.5295122693087</v>
      </c>
      <c r="N13">
        <v>1169.4748396020218</v>
      </c>
      <c r="O13">
        <v>1175.4187557140672</v>
      </c>
      <c r="P13">
        <v>1181.3612885669031</v>
      </c>
      <c r="Q13">
        <v>1187.3024706914894</v>
      </c>
      <c r="R13">
        <v>1193.2423390803383</v>
      </c>
      <c r="S13">
        <v>1199.1809350658436</v>
      </c>
      <c r="T13">
        <v>1205.118304183196</v>
      </c>
      <c r="U13">
        <v>1211.054496020543</v>
      </c>
      <c r="V13">
        <v>1216.9895640545958</v>
      </c>
      <c r="W13">
        <v>1222.923565474583</v>
      </c>
      <c r="X13">
        <v>1228.8565609927346</v>
      </c>
      <c r="Y13">
        <v>1234.7886146443348</v>
      </c>
      <c r="Z13">
        <v>1240.7197935756071</v>
      </c>
      <c r="AA13">
        <v>1246.6501678224852</v>
      </c>
      <c r="AB13">
        <v>1252.5798100787165</v>
      </c>
      <c r="AC13">
        <v>1258.5087954562559</v>
      </c>
      <c r="AD13">
        <v>1264.4372012366675</v>
      </c>
      <c r="AE13">
        <v>1270.3651066162856</v>
      </c>
      <c r="AF13">
        <v>1276.2925924442134</v>
      </c>
      <c r="AG13">
        <v>1282.2197409556002</v>
      </c>
      <c r="AH13">
        <v>1288.1466354997119</v>
      </c>
      <c r="AI13">
        <v>1294.0733602648313</v>
      </c>
      <c r="AJ13">
        <f>C13</f>
        <v>1300</v>
      </c>
    </row>
    <row r="14" spans="2:36" x14ac:dyDescent="0.25">
      <c r="B14" s="4" t="s">
        <v>14</v>
      </c>
      <c r="C14" s="4">
        <v>100</v>
      </c>
    </row>
    <row r="16" spans="2:36" x14ac:dyDescent="0.25">
      <c r="E16" t="s">
        <v>10</v>
      </c>
      <c r="G16">
        <f>G13+(($C$10*$C$5)/($C$9*$C$8))*( (H13-2*G13+F13)/($C$4^2))</f>
        <v>1127.8262059202457</v>
      </c>
      <c r="H16">
        <f t="shared" ref="H16:AI16" si="1">H13+(($C$10*$C$5)/($C$9*$C$8))*( (I13-2*H13+G13)/($C$4^2))</f>
        <v>1133.7803193471373</v>
      </c>
      <c r="I16">
        <f t="shared" si="1"/>
        <v>1139.7329562628365</v>
      </c>
      <c r="J16">
        <f t="shared" si="1"/>
        <v>1145.684115821862</v>
      </c>
      <c r="K16">
        <f t="shared" si="1"/>
        <v>1151.6338020587459</v>
      </c>
      <c r="L16">
        <f t="shared" si="1"/>
        <v>1157.5820238748986</v>
      </c>
      <c r="M16">
        <f t="shared" si="1"/>
        <v>1163.5287950089523</v>
      </c>
      <c r="N16">
        <f t="shared" si="1"/>
        <v>1169.4741339916879</v>
      </c>
      <c r="O16">
        <f t="shared" si="1"/>
        <v>1175.4180640844625</v>
      </c>
      <c r="P16">
        <f t="shared" si="1"/>
        <v>1181.3606132027783</v>
      </c>
      <c r="Q16">
        <f t="shared" si="1"/>
        <v>1187.3018138236207</v>
      </c>
      <c r="R16">
        <f t="shared" si="1"/>
        <v>1193.2417028786665</v>
      </c>
      <c r="S16">
        <f t="shared" si="1"/>
        <v>1199.1803216317671</v>
      </c>
      <c r="T16">
        <f t="shared" si="1"/>
        <v>1205.1177155431933</v>
      </c>
      <c r="U16">
        <f t="shared" si="1"/>
        <v>1211.053934118896</v>
      </c>
      <c r="V16">
        <f t="shared" si="1"/>
        <v>1216.989030747563</v>
      </c>
      <c r="W16">
        <f t="shared" si="1"/>
        <v>1222.9230625236651</v>
      </c>
      <c r="X16">
        <f t="shared" si="1"/>
        <v>1228.8560900594589</v>
      </c>
      <c r="Y16">
        <f t="shared" si="1"/>
        <v>1234.7881772841708</v>
      </c>
      <c r="Z16">
        <f t="shared" si="1"/>
        <v>1240.7193912334101</v>
      </c>
      <c r="AA16">
        <f t="shared" si="1"/>
        <v>1246.6498018271618</v>
      </c>
      <c r="AB16">
        <f t="shared" si="1"/>
        <v>1252.5794816393704</v>
      </c>
      <c r="AC16">
        <f t="shared" si="1"/>
        <v>1258.508505657692</v>
      </c>
      <c r="AD16">
        <f t="shared" si="1"/>
        <v>1264.4369510362708</v>
      </c>
      <c r="AE16">
        <f t="shared" si="1"/>
        <v>1270.3648968404405</v>
      </c>
      <c r="AF16">
        <f t="shared" si="1"/>
        <v>1276.2924237859429</v>
      </c>
      <c r="AG16">
        <f t="shared" si="1"/>
        <v>1282.2196139719626</v>
      </c>
      <c r="AH16">
        <f t="shared" si="1"/>
        <v>1288.1465506102159</v>
      </c>
      <c r="AI16">
        <f t="shared" si="1"/>
        <v>1294.073317749856</v>
      </c>
    </row>
    <row r="17" spans="2:2" x14ac:dyDescent="0.25">
      <c r="B17">
        <f>G13-B18</f>
        <v>1125.6530294875611</v>
      </c>
    </row>
    <row r="18" spans="2:2" x14ac:dyDescent="0.25">
      <c r="B18">
        <f>$C$12*$C$14*$C$4/$C$10</f>
        <v>2.1739130434782608</v>
      </c>
    </row>
    <row r="19" spans="2:2" x14ac:dyDescent="0.25">
      <c r="B19">
        <f>(1-($C$14*$C$4/$C$10))</f>
        <v>0.99275362318840576</v>
      </c>
    </row>
    <row r="20" spans="2:2" x14ac:dyDescent="0.25">
      <c r="B20">
        <f>B17/B19</f>
        <v>1133.8694749582733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 рода</vt:lpstr>
      <vt:lpstr>Гу 2 рода</vt:lpstr>
      <vt:lpstr>ГУ 3 рода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Антонина Иванова</cp:lastModifiedBy>
  <dcterms:created xsi:type="dcterms:W3CDTF">2015-06-05T18:19:34Z</dcterms:created>
  <dcterms:modified xsi:type="dcterms:W3CDTF">2021-10-10T13:17:34Z</dcterms:modified>
</cp:coreProperties>
</file>