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03" codeName="{00000000-0000-0000-0000-000000000000}"/>
  <workbookPr filterPrivacy="1" codeName="ЭтаКнига"/>
  <xr:revisionPtr revIDLastSave="3" documentId="8_{EFBD14A5-5EB9-C14D-910A-BD5A6F4DA0A8}" xr6:coauthVersionLast="47" xr6:coauthVersionMax="47" xr10:uidLastSave="{F594A032-347B-9C45-B6DC-82375B5D73E9}"/>
  <bookViews>
    <workbookView xWindow="0" yWindow="0" windowWidth="22260" windowHeight="12645" xr2:uid="{00000000-000D-0000-FFFF-FFFF00000000}"/>
  </bookViews>
  <sheets>
    <sheet name="Явная схема" sheetId="1" r:id="rId1"/>
    <sheet name="Неявная схема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2" l="1"/>
  <c r="F20" i="2"/>
  <c r="C2" i="2"/>
  <c r="C15" i="2"/>
  <c r="C17" i="2"/>
  <c r="C16" i="2"/>
  <c r="G20" i="2"/>
  <c r="G19" i="2"/>
  <c r="F21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H21" i="2"/>
  <c r="H20" i="2"/>
  <c r="I21" i="2"/>
  <c r="I20" i="2"/>
  <c r="J21" i="2"/>
  <c r="J20" i="2"/>
  <c r="K21" i="2"/>
  <c r="K20" i="2"/>
  <c r="L21" i="2"/>
  <c r="L20" i="2"/>
  <c r="M21" i="2"/>
  <c r="M20" i="2"/>
  <c r="N21" i="2"/>
  <c r="N20" i="2"/>
  <c r="O21" i="2"/>
  <c r="O20" i="2"/>
  <c r="P21" i="2"/>
  <c r="P20" i="2"/>
  <c r="Q21" i="2"/>
  <c r="Q20" i="2"/>
  <c r="R21" i="2"/>
  <c r="R20" i="2"/>
  <c r="S21" i="2"/>
  <c r="S20" i="2"/>
  <c r="T21" i="2"/>
  <c r="T20" i="2"/>
  <c r="U21" i="2"/>
  <c r="U20" i="2"/>
  <c r="V21" i="2"/>
  <c r="V20" i="2"/>
  <c r="W21" i="2"/>
  <c r="W20" i="2"/>
  <c r="X21" i="2"/>
  <c r="X20" i="2"/>
  <c r="Y21" i="2"/>
  <c r="Y20" i="2"/>
  <c r="Z21" i="2"/>
  <c r="Z20" i="2"/>
  <c r="AA21" i="2"/>
  <c r="AA20" i="2"/>
  <c r="AB21" i="2"/>
  <c r="AB20" i="2"/>
  <c r="AC21" i="2"/>
  <c r="AC20" i="2"/>
  <c r="AD21" i="2"/>
  <c r="AD20" i="2"/>
  <c r="AE21" i="2"/>
  <c r="AE20" i="2"/>
  <c r="AF21" i="2"/>
  <c r="AF20" i="2"/>
  <c r="AG21" i="2"/>
  <c r="AG20" i="2"/>
  <c r="AH21" i="2"/>
  <c r="AH20" i="2"/>
  <c r="AI21" i="2"/>
  <c r="AI20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C4" i="1"/>
  <c r="H5" i="1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F13" i="1"/>
  <c r="G15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</calcChain>
</file>

<file path=xl/sharedStrings.xml><?xml version="1.0" encoding="utf-8"?>
<sst xmlns="http://schemas.openxmlformats.org/spreadsheetml/2006/main" count="31" uniqueCount="19">
  <si>
    <t>L</t>
  </si>
  <si>
    <t>dx</t>
  </si>
  <si>
    <t>dt</t>
  </si>
  <si>
    <t>t</t>
  </si>
  <si>
    <t>Cp</t>
  </si>
  <si>
    <t>r0</t>
  </si>
  <si>
    <t>lamda</t>
  </si>
  <si>
    <t>T_start</t>
  </si>
  <si>
    <t>T_end</t>
  </si>
  <si>
    <t>T</t>
  </si>
  <si>
    <t>T_iter</t>
  </si>
  <si>
    <t>A</t>
  </si>
  <si>
    <t>B</t>
  </si>
  <si>
    <t>C</t>
  </si>
  <si>
    <t>q</t>
  </si>
  <si>
    <t>alpha</t>
  </si>
  <si>
    <t>beta</t>
  </si>
  <si>
    <t>F</t>
  </si>
  <si>
    <t>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</si>
</sst>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"/>
    <numFmt numFmtId="166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/>
    <xf numFmtId="166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A0-4FB5-B697-6C56CB891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43472"/>
        <c:axId val="414244720"/>
      </c:scatterChart>
      <c:valAx>
        <c:axId val="4142434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4244720"/>
        <c:crosses val="autoZero"/>
        <c:crossBetween val="midCat"/>
      </c:valAx>
      <c:valAx>
        <c:axId val="414244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424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280.20114262798597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3-4E0E-A864-914C11B1C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534176"/>
        <c:axId val="352535424"/>
      </c:scatterChart>
      <c:valAx>
        <c:axId val="3525341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2535424"/>
        <c:crosses val="autoZero"/>
        <c:crossBetween val="midCat"/>
      </c:valAx>
      <c:valAx>
        <c:axId val="35253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253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3-4ED1-B7F7-B7205707A6D1}"/>
            </c:ext>
          </c:extLst>
        </c:ser>
        <c:ser>
          <c:idx val="1"/>
          <c:order val="1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280.20114262798597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3-4ED1-B7F7-B7205707A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925040"/>
        <c:axId val="332923792"/>
      </c:lineChart>
      <c:catAx>
        <c:axId val="332925040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2923792"/>
        <c:crosses val="autoZero"/>
        <c:auto val="1"/>
        <c:lblAlgn val="ctr"/>
        <c:lblOffset val="100"/>
        <c:noMultiLvlLbl val="0"/>
      </c:catAx>
      <c:valAx>
        <c:axId val="3329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292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17</xdr:row>
      <xdr:rowOff>144460</xdr:rowOff>
    </xdr:from>
    <xdr:to>
      <xdr:col>11</xdr:col>
      <xdr:colOff>317500</xdr:colOff>
      <xdr:row>43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</xdr:colOff>
      <xdr:row>17</xdr:row>
      <xdr:rowOff>148167</xdr:rowOff>
    </xdr:from>
    <xdr:ext cx="75992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3090334" y="3386667"/>
              <a:ext cx="75992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090334" y="3386667"/>
              <a:ext cx="75992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10</xdr:col>
      <xdr:colOff>338667</xdr:colOff>
      <xdr:row>41</xdr:row>
      <xdr:rowOff>74084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6498167" y="7884584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6498167" y="7884584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35718</xdr:colOff>
      <xdr:row>22</xdr:row>
      <xdr:rowOff>146444</xdr:rowOff>
    </xdr:from>
    <xdr:to>
      <xdr:col>15</xdr:col>
      <xdr:colOff>416719</xdr:colOff>
      <xdr:row>41</xdr:row>
      <xdr:rowOff>190499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107156</xdr:colOff>
      <xdr:row>22</xdr:row>
      <xdr:rowOff>166688</xdr:rowOff>
    </xdr:from>
    <xdr:ext cx="527844" cy="3286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5707856" y="4357688"/>
              <a:ext cx="527844" cy="328612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5607844" y="4357688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14</xdr:col>
      <xdr:colOff>464344</xdr:colOff>
      <xdr:row>39</xdr:row>
      <xdr:rowOff>178594</xdr:rowOff>
    </xdr:from>
    <xdr:to>
      <xdr:col>15</xdr:col>
      <xdr:colOff>549161</xdr:colOff>
      <xdr:row>41</xdr:row>
      <xdr:rowOff>116948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2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9001125" y="7608094"/>
              <a:ext cx="692036" cy="31935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6" name="TextBox 2"/>
            <xdr:cNvSpPr txBox="1"/>
          </xdr:nvSpPr>
          <xdr:spPr>
            <a:xfrm>
              <a:off x="9001125" y="7608094"/>
              <a:ext cx="692036" cy="31935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xdr:txBody>
        </xdr:sp>
      </mc:Fallback>
    </mc:AlternateContent>
    <xdr:clientData/>
  </xdr:twoCellAnchor>
  <xdr:twoCellAnchor>
    <xdr:from>
      <xdr:col>16</xdr:col>
      <xdr:colOff>181454</xdr:colOff>
      <xdr:row>23</xdr:row>
      <xdr:rowOff>74706</xdr:rowOff>
    </xdr:from>
    <xdr:to>
      <xdr:col>22</xdr:col>
      <xdr:colOff>427619</xdr:colOff>
      <xdr:row>42</xdr:row>
      <xdr:rowOff>148926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5"/>
  <sheetViews>
    <sheetView tabSelected="1" topLeftCell="B1" zoomScale="50" zoomScaleNormal="50" workbookViewId="0">
      <selection activeCell="O37" sqref="O37"/>
    </sheetView>
  </sheetViews>
  <sheetFormatPr defaultRowHeight="15" x14ac:dyDescent="0.2"/>
  <cols>
    <col min="3" max="3" width="9.55078125" bestFit="1" customWidth="1"/>
  </cols>
  <sheetData>
    <row r="3" spans="2:36" x14ac:dyDescent="0.2">
      <c r="B3" s="1" t="s">
        <v>0</v>
      </c>
      <c r="C3" s="1">
        <v>0.1</v>
      </c>
    </row>
    <row r="4" spans="2:36" x14ac:dyDescent="0.2">
      <c r="B4" s="1" t="s">
        <v>1</v>
      </c>
      <c r="C4" s="3">
        <f>C3/30</f>
        <v>3.3333333333333335E-3</v>
      </c>
    </row>
    <row r="5" spans="2:36" x14ac:dyDescent="0.2">
      <c r="B5" s="1" t="s">
        <v>2</v>
      </c>
      <c r="C5" s="3">
        <v>2</v>
      </c>
      <c r="H5">
        <f>C5/C4</f>
        <v>600</v>
      </c>
    </row>
    <row r="6" spans="2:36" x14ac:dyDescent="0.2">
      <c r="B6" s="1" t="s">
        <v>3</v>
      </c>
      <c r="C6" s="1">
        <v>60</v>
      </c>
      <c r="D6">
        <v>62</v>
      </c>
    </row>
    <row r="8" spans="2:36" x14ac:dyDescent="0.2">
      <c r="B8" s="1" t="s">
        <v>4</v>
      </c>
      <c r="C8" s="1">
        <v>460</v>
      </c>
    </row>
    <row r="9" spans="2:36" x14ac:dyDescent="0.2">
      <c r="B9" s="1" t="s">
        <v>5</v>
      </c>
      <c r="C9" s="1">
        <v>7800</v>
      </c>
    </row>
    <row r="10" spans="2:36" x14ac:dyDescent="0.2">
      <c r="B10" s="1" t="s">
        <v>6</v>
      </c>
      <c r="C10" s="1">
        <v>46</v>
      </c>
    </row>
    <row r="11" spans="2:36" x14ac:dyDescent="0.2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">
      <c r="B12" s="1" t="s">
        <v>7</v>
      </c>
      <c r="C12" s="1">
        <v>300</v>
      </c>
      <c r="E12" t="s">
        <v>0</v>
      </c>
      <c r="F12" s="2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">
      <c r="B13" s="1" t="s">
        <v>8</v>
      </c>
      <c r="C13" s="1">
        <v>100</v>
      </c>
      <c r="E13" t="s">
        <v>9</v>
      </c>
      <c r="F13">
        <f>C12</f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100</v>
      </c>
    </row>
    <row r="15" spans="2:36" x14ac:dyDescent="0.2">
      <c r="E15" t="s">
        <v>10</v>
      </c>
      <c r="G15">
        <f>G13+(($C$10*$C$5)/($C$9*$C$8))*( (H13-2*G13+F13)/($C$4^2))</f>
        <v>692.30769230769215</v>
      </c>
      <c r="H15">
        <f t="shared" ref="H15:AI15" si="1">H13+(($C$10*$C$5)/($C$9*$C$8))*( (I13-2*H13+G13)/($C$4^2))</f>
        <v>0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0</v>
      </c>
      <c r="Q15">
        <f t="shared" si="1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0</v>
      </c>
      <c r="AI15">
        <f t="shared" si="1"/>
        <v>230.76923076923072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AJ21"/>
  <sheetViews>
    <sheetView topLeftCell="I1" zoomScale="77" zoomScaleNormal="77" workbookViewId="0">
      <selection activeCell="T51" sqref="T51"/>
    </sheetView>
  </sheetViews>
  <sheetFormatPr defaultRowHeight="15" x14ac:dyDescent="0.2"/>
  <cols>
    <col min="6" max="6" width="9.68359375" customWidth="1"/>
    <col min="7" max="7" width="9.14453125" customWidth="1"/>
  </cols>
  <sheetData>
    <row r="1" spans="2:36" x14ac:dyDescent="0.2">
      <c r="B1" s="1" t="s">
        <v>0</v>
      </c>
      <c r="C1" s="1">
        <v>0.1</v>
      </c>
    </row>
    <row r="2" spans="2:36" x14ac:dyDescent="0.2">
      <c r="B2" s="1" t="s">
        <v>1</v>
      </c>
      <c r="C2" s="5">
        <f>C1/30</f>
        <v>3.3333333333333335E-3</v>
      </c>
    </row>
    <row r="3" spans="2:36" x14ac:dyDescent="0.2">
      <c r="B3" s="1" t="s">
        <v>3</v>
      </c>
      <c r="C3" s="5">
        <v>60</v>
      </c>
    </row>
    <row r="4" spans="2:36" x14ac:dyDescent="0.2">
      <c r="B4" s="1" t="s">
        <v>2</v>
      </c>
      <c r="C4" s="6">
        <v>2</v>
      </c>
      <c r="D4">
        <v>62</v>
      </c>
    </row>
    <row r="5" spans="2:36" x14ac:dyDescent="0.2">
      <c r="B5" s="7"/>
      <c r="C5" s="7"/>
    </row>
    <row r="7" spans="2:36" x14ac:dyDescent="0.2">
      <c r="B7" s="1" t="s">
        <v>4</v>
      </c>
      <c r="C7" s="1">
        <v>460</v>
      </c>
    </row>
    <row r="8" spans="2:36" x14ac:dyDescent="0.2">
      <c r="B8" s="1" t="s">
        <v>18</v>
      </c>
      <c r="C8" s="1">
        <v>7800</v>
      </c>
    </row>
    <row r="9" spans="2:36" x14ac:dyDescent="0.2">
      <c r="B9" s="1" t="s">
        <v>6</v>
      </c>
      <c r="C9" s="1">
        <v>46</v>
      </c>
    </row>
    <row r="10" spans="2:36" x14ac:dyDescent="0.2">
      <c r="B10" s="7"/>
      <c r="C10" s="7"/>
    </row>
    <row r="11" spans="2:36" x14ac:dyDescent="0.2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">
      <c r="B12" s="1" t="s">
        <v>7</v>
      </c>
      <c r="C12" s="1">
        <v>300</v>
      </c>
      <c r="E12" t="s">
        <v>0</v>
      </c>
      <c r="F12" s="3">
        <v>0</v>
      </c>
      <c r="G12" s="3">
        <f>F12+$C$2</f>
        <v>3.3333333333333335E-3</v>
      </c>
      <c r="H12" s="3">
        <f t="shared" ref="H12:AJ12" si="0">G12+$C$2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">
      <c r="B13" s="1" t="s">
        <v>8</v>
      </c>
      <c r="C13" s="1">
        <v>100</v>
      </c>
      <c r="E13" t="s">
        <v>9</v>
      </c>
      <c r="F13">
        <v>300</v>
      </c>
      <c r="G13" s="8">
        <v>280.20114262798597</v>
      </c>
      <c r="H13" s="8">
        <v>260.57053452366904</v>
      </c>
      <c r="I13" s="8">
        <v>241.27335396752636</v>
      </c>
      <c r="J13" s="8">
        <v>222.46874067679317</v>
      </c>
      <c r="K13" s="8">
        <v>204.30702925674697</v>
      </c>
      <c r="L13" s="8">
        <v>186.92727013670742</v>
      </c>
      <c r="M13" s="8">
        <v>170.45510875086381</v>
      </c>
      <c r="N13" s="8">
        <v>155.00107463428773</v>
      </c>
      <c r="O13" s="8">
        <v>140.65931099015722</v>
      </c>
      <c r="P13" s="8">
        <v>127.5067536180474</v>
      </c>
      <c r="Q13" s="8">
        <v>115.60274732960713</v>
      </c>
      <c r="R13" s="8">
        <v>104.98906943559072</v>
      </c>
      <c r="S13" s="8">
        <v>95.690314648076594</v>
      </c>
      <c r="T13" s="8">
        <v>87.714584570723446</v>
      </c>
      <c r="U13" s="8">
        <v>81.054418255410752</v>
      </c>
      <c r="V13" s="8">
        <v>75.68789812172092</v>
      </c>
      <c r="W13" s="8">
        <v>71.579867553261167</v>
      </c>
      <c r="X13" s="8">
        <v>68.68320209085141</v>
      </c>
      <c r="Y13" s="8">
        <v>66.940084503407604</v>
      </c>
      <c r="Z13" s="8">
        <v>66.283244166503039</v>
      </c>
      <c r="AA13" s="8">
        <v>66.637132112902975</v>
      </c>
      <c r="AB13" s="8">
        <v>67.919013891339318</v>
      </c>
      <c r="AC13" s="8">
        <v>70.039972168091296</v>
      </c>
      <c r="AD13" s="8">
        <v>72.905819217013814</v>
      </c>
      <c r="AE13" s="8">
        <v>76.417925689672472</v>
      </c>
      <c r="AF13" s="8">
        <v>80.473976208137344</v>
      </c>
      <c r="AG13" s="8">
        <v>84.968664482862408</v>
      </c>
      <c r="AH13" s="8">
        <v>89.794341128753075</v>
      </c>
      <c r="AI13" s="8">
        <v>94.841626578966242</v>
      </c>
      <c r="AJ13">
        <v>100</v>
      </c>
    </row>
    <row r="15" spans="2:36" x14ac:dyDescent="0.2">
      <c r="B15" t="s">
        <v>11</v>
      </c>
      <c r="C15">
        <f>C9/(C2^2)</f>
        <v>4139999.9999999991</v>
      </c>
      <c r="E15" t="s">
        <v>10</v>
      </c>
      <c r="G15">
        <f t="shared" ref="G15:AH15" si="1">G19*H15+G20</f>
        <v>280.57418586767437</v>
      </c>
      <c r="H15">
        <f t="shared" si="1"/>
        <v>261.31002380588035</v>
      </c>
      <c r="I15">
        <f t="shared" si="1"/>
        <v>242.36630709971126</v>
      </c>
      <c r="J15">
        <f t="shared" si="1"/>
        <v>223.89620341748901</v>
      </c>
      <c r="K15">
        <f t="shared" si="1"/>
        <v>206.0446669229016</v>
      </c>
      <c r="L15">
        <f t="shared" si="1"/>
        <v>188.94610675031456</v>
      </c>
      <c r="M15">
        <f t="shared" si="1"/>
        <v>172.72237577695731</v>
      </c>
      <c r="N15">
        <f t="shared" si="1"/>
        <v>157.4811271815739</v>
      </c>
      <c r="O15">
        <f t="shared" si="1"/>
        <v>143.31456802334787</v>
      </c>
      <c r="P15">
        <f t="shared" si="1"/>
        <v>130.29862024617108</v>
      </c>
      <c r="Q15">
        <f t="shared" si="1"/>
        <v>118.49248134118127</v>
      </c>
      <c r="R15">
        <f t="shared" si="1"/>
        <v>107.9385605078736</v>
      </c>
      <c r="S15">
        <f t="shared" si="1"/>
        <v>98.662752472555155</v>
      </c>
      <c r="T15">
        <f t="shared" si="1"/>
        <v>90.675000827844116</v>
      </c>
      <c r="U15">
        <f t="shared" si="1"/>
        <v>83.970096227885335</v>
      </c>
      <c r="V15">
        <f t="shared" si="1"/>
        <v>78.528652082665545</v>
      </c>
      <c r="W15">
        <f t="shared" si="1"/>
        <v>74.318201320521752</v>
      </c>
      <c r="X15">
        <f t="shared" si="1"/>
        <v>71.294361857524194</v>
      </c>
      <c r="Y15">
        <f t="shared" si="1"/>
        <v>69.402024960084873</v>
      </c>
      <c r="Z15">
        <f t="shared" si="1"/>
        <v>68.5765289272057</v>
      </c>
      <c r="AA15">
        <f t="shared" si="1"/>
        <v>68.744789623964351</v>
      </c>
      <c r="AB15">
        <f t="shared" si="1"/>
        <v>69.82636857551627</v>
      </c>
      <c r="AC15">
        <f t="shared" si="1"/>
        <v>71.734467890211505</v>
      </c>
      <c r="AD15">
        <f t="shared" si="1"/>
        <v>74.37684868449216</v>
      </c>
      <c r="AE15">
        <f t="shared" si="1"/>
        <v>77.656675581346775</v>
      </c>
      <c r="AF15">
        <f t="shared" si="1"/>
        <v>81.473294097926896</v>
      </c>
      <c r="AG15">
        <f t="shared" si="1"/>
        <v>85.722950366749174</v>
      </c>
      <c r="AH15">
        <f t="shared" si="1"/>
        <v>90.299463851922383</v>
      </c>
      <c r="AI15">
        <f>AI19*AJ15+AI20</f>
        <v>95.09486385046894</v>
      </c>
      <c r="AJ15">
        <f>C13</f>
        <v>100</v>
      </c>
    </row>
    <row r="16" spans="2:36" x14ac:dyDescent="0.2">
      <c r="B16" t="s">
        <v>12</v>
      </c>
      <c r="C16">
        <f>(2*C9)/(C2^2)+(C8*C7)/C4</f>
        <v>10073999.999999998</v>
      </c>
    </row>
    <row r="17" spans="2:35" x14ac:dyDescent="0.2">
      <c r="B17" t="s">
        <v>13</v>
      </c>
      <c r="C17">
        <f>C15</f>
        <v>4139999.9999999991</v>
      </c>
      <c r="E17" t="s">
        <v>14</v>
      </c>
    </row>
    <row r="19" spans="2:35" x14ac:dyDescent="0.2">
      <c r="E19" t="s">
        <v>15</v>
      </c>
      <c r="F19">
        <v>0</v>
      </c>
      <c r="G19">
        <f>$C$15/($C$16-$C$17*F19)</f>
        <v>0.41095890410958902</v>
      </c>
      <c r="H19">
        <f t="shared" ref="H19:AI19" si="2">$C$15/($C$16-$C$17*G19)</f>
        <v>0.49446827726349057</v>
      </c>
      <c r="I19">
        <f t="shared" si="2"/>
        <v>0.51576565211146774</v>
      </c>
      <c r="J19">
        <f t="shared" si="2"/>
        <v>0.52149397895713612</v>
      </c>
      <c r="K19">
        <f t="shared" si="2"/>
        <v>0.52305649933975962</v>
      </c>
      <c r="L19">
        <f t="shared" si="2"/>
        <v>0.52348433598989241</v>
      </c>
      <c r="M19">
        <f t="shared" si="2"/>
        <v>0.52360160483419294</v>
      </c>
      <c r="N19">
        <f t="shared" si="2"/>
        <v>0.52363375707534621</v>
      </c>
      <c r="O19">
        <f t="shared" si="2"/>
        <v>0.52364257312109652</v>
      </c>
      <c r="P19">
        <f t="shared" si="2"/>
        <v>0.5236449905056163</v>
      </c>
      <c r="Q19">
        <f t="shared" si="2"/>
        <v>0.52364565336314417</v>
      </c>
      <c r="R19">
        <f t="shared" si="2"/>
        <v>0.52364583512190344</v>
      </c>
      <c r="S19">
        <f t="shared" si="2"/>
        <v>0.52364588496106157</v>
      </c>
      <c r="T19">
        <f t="shared" si="2"/>
        <v>0.52364589862720901</v>
      </c>
      <c r="U19">
        <f t="shared" si="2"/>
        <v>0.52364590237453534</v>
      </c>
      <c r="V19">
        <f t="shared" si="2"/>
        <v>0.52364590340207107</v>
      </c>
      <c r="W19">
        <f t="shared" si="2"/>
        <v>0.52364590368382657</v>
      </c>
      <c r="X19">
        <f t="shared" si="2"/>
        <v>0.52364590376108522</v>
      </c>
      <c r="Y19">
        <f t="shared" si="2"/>
        <v>0.52364590378227005</v>
      </c>
      <c r="Z19">
        <f t="shared" si="2"/>
        <v>0.52364590378807896</v>
      </c>
      <c r="AA19">
        <f t="shared" si="2"/>
        <v>0.5236459037896718</v>
      </c>
      <c r="AB19">
        <f t="shared" si="2"/>
        <v>0.52364590379010867</v>
      </c>
      <c r="AC19">
        <f t="shared" si="2"/>
        <v>0.52364590379022846</v>
      </c>
      <c r="AD19">
        <f t="shared" si="2"/>
        <v>0.52364590379026121</v>
      </c>
      <c r="AE19">
        <f t="shared" si="2"/>
        <v>0.52364590379027021</v>
      </c>
      <c r="AF19">
        <f t="shared" si="2"/>
        <v>0.52364590379027265</v>
      </c>
      <c r="AG19">
        <f t="shared" si="2"/>
        <v>0.52364590379027331</v>
      </c>
      <c r="AH19">
        <f t="shared" si="2"/>
        <v>0.52364590379027354</v>
      </c>
      <c r="AI19">
        <f t="shared" si="2"/>
        <v>0.52364590379027354</v>
      </c>
    </row>
    <row r="20" spans="2:35" x14ac:dyDescent="0.2">
      <c r="E20" t="s">
        <v>16</v>
      </c>
      <c r="F20">
        <f>C12</f>
        <v>300</v>
      </c>
      <c r="G20">
        <f>(F20*$C$17-G21)/($C$16-$C$17*F19)</f>
        <v>173.18650485155916</v>
      </c>
      <c r="H20">
        <f t="shared" ref="H20:AI20" si="3">(G20*$C$17-H21)/($C$16-$C$17*G19)</f>
        <v>141.46757346757201</v>
      </c>
      <c r="I20">
        <f t="shared" si="3"/>
        <v>126.88833573880822</v>
      </c>
      <c r="J20">
        <f t="shared" si="3"/>
        <v>116.44515022096724</v>
      </c>
      <c r="K20">
        <f t="shared" si="3"/>
        <v>107.21517776220554</v>
      </c>
      <c r="L20">
        <f t="shared" si="3"/>
        <v>98.528648556117389</v>
      </c>
      <c r="M20">
        <f t="shared" si="3"/>
        <v>90.26500485358757</v>
      </c>
      <c r="N20">
        <f t="shared" si="3"/>
        <v>82.436781483877979</v>
      </c>
      <c r="O20">
        <f t="shared" si="3"/>
        <v>75.084663243514228</v>
      </c>
      <c r="P20">
        <f t="shared" si="3"/>
        <v>68.25062597928131</v>
      </c>
      <c r="Q20">
        <f t="shared" si="3"/>
        <v>61.970923300958539</v>
      </c>
      <c r="R20">
        <f t="shared" si="3"/>
        <v>56.274221093956811</v>
      </c>
      <c r="S20">
        <f t="shared" si="3"/>
        <v>51.181161420213741</v>
      </c>
      <c r="T20">
        <f t="shared" si="3"/>
        <v>46.70440433077988</v>
      </c>
      <c r="U20">
        <f t="shared" si="3"/>
        <v>42.848889345802</v>
      </c>
      <c r="V20">
        <f t="shared" si="3"/>
        <v>39.612230412963939</v>
      </c>
      <c r="W20">
        <f t="shared" si="3"/>
        <v>36.985200778076752</v>
      </c>
      <c r="X20">
        <f t="shared" si="3"/>
        <v>34.952275774451159</v>
      </c>
      <c r="Y20">
        <f t="shared" si="3"/>
        <v>33.492206491747261</v>
      </c>
      <c r="Z20">
        <f t="shared" si="3"/>
        <v>32.578601433843538</v>
      </c>
      <c r="AA20">
        <f t="shared" si="3"/>
        <v>32.180497742887404</v>
      </c>
      <c r="AB20">
        <f t="shared" si="3"/>
        <v>32.262908304243936</v>
      </c>
      <c r="AC20">
        <f t="shared" si="3"/>
        <v>32.787335739751548</v>
      </c>
      <c r="AD20">
        <f t="shared" si="3"/>
        <v>33.712248614350727</v>
      </c>
      <c r="AE20">
        <f t="shared" si="3"/>
        <v>34.993518858667358</v>
      </c>
      <c r="AF20">
        <f t="shared" si="3"/>
        <v>36.584822277561848</v>
      </c>
      <c r="AG20">
        <f t="shared" si="3"/>
        <v>38.438006006232165</v>
      </c>
      <c r="AH20">
        <f t="shared" si="3"/>
        <v>40.503427925130566</v>
      </c>
      <c r="AI20">
        <f t="shared" si="3"/>
        <v>42.730273471441585</v>
      </c>
    </row>
    <row r="21" spans="2:35" x14ac:dyDescent="0.2">
      <c r="E21" t="s">
        <v>17</v>
      </c>
      <c r="F21">
        <f>-(($C$8*$C$7)/$C$4)*F13</f>
        <v>-538200000</v>
      </c>
      <c r="G21">
        <f>-(($C$8*$C$7)/$C$4)*G13</f>
        <v>-502680849.87460685</v>
      </c>
      <c r="H21">
        <f t="shared" ref="H21:AI21" si="4">-(($C$8*$C$7)/$C$4)*H13</f>
        <v>-467463538.93546224</v>
      </c>
      <c r="I21">
        <f t="shared" si="4"/>
        <v>-432844397.01774228</v>
      </c>
      <c r="J21">
        <f t="shared" si="4"/>
        <v>-399108920.77416694</v>
      </c>
      <c r="K21">
        <f t="shared" si="4"/>
        <v>-366526810.48660409</v>
      </c>
      <c r="L21">
        <f t="shared" si="4"/>
        <v>-335347522.62525314</v>
      </c>
      <c r="M21">
        <f t="shared" si="4"/>
        <v>-305796465.09904969</v>
      </c>
      <c r="N21">
        <f t="shared" si="4"/>
        <v>-278071927.8939122</v>
      </c>
      <c r="O21">
        <f t="shared" si="4"/>
        <v>-252342803.91634205</v>
      </c>
      <c r="P21">
        <f t="shared" si="4"/>
        <v>-228747115.99077705</v>
      </c>
      <c r="Q21">
        <f t="shared" si="4"/>
        <v>-207391328.70931518</v>
      </c>
      <c r="R21">
        <f t="shared" si="4"/>
        <v>-188350390.56744975</v>
      </c>
      <c r="S21">
        <f t="shared" si="4"/>
        <v>-171668424.47864941</v>
      </c>
      <c r="T21">
        <f t="shared" si="4"/>
        <v>-157359964.71987787</v>
      </c>
      <c r="U21">
        <f t="shared" si="4"/>
        <v>-145411626.35020688</v>
      </c>
      <c r="V21">
        <f t="shared" si="4"/>
        <v>-135784089.23036733</v>
      </c>
      <c r="W21">
        <f t="shared" si="4"/>
        <v>-128414282.39055054</v>
      </c>
      <c r="X21">
        <f t="shared" si="4"/>
        <v>-123217664.55098742</v>
      </c>
      <c r="Y21">
        <f t="shared" si="4"/>
        <v>-120090511.59911324</v>
      </c>
      <c r="Z21">
        <f t="shared" si="4"/>
        <v>-118912140.03470646</v>
      </c>
      <c r="AA21">
        <f t="shared" si="4"/>
        <v>-119547015.01054794</v>
      </c>
      <c r="AB21">
        <f t="shared" si="4"/>
        <v>-121846710.92106274</v>
      </c>
      <c r="AC21">
        <f t="shared" si="4"/>
        <v>-125651710.06955579</v>
      </c>
      <c r="AD21">
        <f t="shared" si="4"/>
        <v>-130793039.67532279</v>
      </c>
      <c r="AE21">
        <f t="shared" si="4"/>
        <v>-137093758.68727243</v>
      </c>
      <c r="AF21">
        <f t="shared" si="4"/>
        <v>-144370313.3173984</v>
      </c>
      <c r="AG21">
        <f t="shared" si="4"/>
        <v>-152433784.08225515</v>
      </c>
      <c r="AH21">
        <f t="shared" si="4"/>
        <v>-161091047.98498303</v>
      </c>
      <c r="AI21">
        <f t="shared" si="4"/>
        <v>-170145878.08266544</v>
      </c>
    </row>
  </sheetData>
  <conditionalFormatting sqref="AJ13 F13"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G13:AI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2021-10-24T14:29:30Z</dcterms:modified>
</cp:coreProperties>
</file>